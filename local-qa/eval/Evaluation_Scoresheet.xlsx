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color rgb="006B7280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EF0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164" fontId="6" fillId="0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Local Q&amp;A</author>
  </authors>
  <commentList>
    <comment ref="E1" authorId="0" shapeId="0">
      <text>
        <t>Computed from the dummy data by generate_eval_data.py (seed 2026).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Local Q&amp;A evaluation scoresheet</t>
        </is>
      </c>
    </row>
    <row r="2">
      <c r="A2" s="2" t="inlineStr"/>
    </row>
    <row r="3">
      <c r="A3" s="3" t="inlineStr">
        <is>
          <t>How to run</t>
        </is>
      </c>
    </row>
    <row r="4">
      <c r="A4" s="2" t="inlineStr">
        <is>
          <t>1. Open https://ng-04.github.io/news_sentiment/#local-qa and enter your Claude API key (model: claude-opus-5).</t>
        </is>
      </c>
    </row>
    <row r="5">
      <c r="A5" s="2" t="inlineStr">
        <is>
          <t>2. Use case A: add the folder data/A_Unstructured. Use case B: add data/B_Sales. For A7, add both folders together.</t>
        </is>
      </c>
    </row>
    <row r="6">
      <c r="A6" s="2" t="inlineStr">
        <is>
          <t>3. Before each question, set the Advanced settings shown in the 'Settings to use' column (re-index if chunk size changes).</t>
        </is>
      </c>
    </row>
    <row r="7">
      <c r="A7" s="2" t="inlineStr">
        <is>
          <t>4. Ask each question exactly as written, in a fresh chat (Clear chat) unless it is a follow-up.</t>
        </is>
      </c>
    </row>
    <row r="8">
      <c r="A8" s="2" t="inlineStr">
        <is>
          <t>5. Paste the answer into 'Actual answer', time it, and score it with the rubric. For chart questions, compare the proposal table with the reference before clicking Plot chart.</t>
        </is>
      </c>
    </row>
    <row r="9">
      <c r="A9" s="2" t="inlineStr"/>
    </row>
    <row r="10">
      <c r="A10" s="3" t="inlineStr">
        <is>
          <t>Which cells to fill in</t>
        </is>
      </c>
    </row>
    <row r="11">
      <c r="A11" s="2" t="inlineStr">
        <is>
          <t>Yellow cells in the 'Test cases' sheet: Actual answer, Score (0-2), Citations correct (Y/N), Made-up facts (Y/N), Seconds, Notes.</t>
        </is>
      </c>
    </row>
    <row r="12">
      <c r="A12" s="2" t="inlineStr">
        <is>
          <t>Row 2 is a filled-in EXAMPLE showing the expected format; it is excluded from the Summary.</t>
        </is>
      </c>
    </row>
    <row r="13">
      <c r="A13" s="2" t="inlineStr"/>
    </row>
    <row r="14">
      <c r="A14" s="3" t="inlineStr">
        <is>
          <t>Scoring rubric</t>
        </is>
      </c>
    </row>
    <row r="15">
      <c r="A15" s="2" t="inlineStr">
        <is>
          <t>Score: 2 = correct and complete; 1 = partly correct, or honestly states a limitation; 0 = wrong, incomplete, or invents facts.</t>
        </is>
      </c>
    </row>
    <row r="16">
      <c r="A16" s="2" t="inlineStr">
        <is>
          <t>Citations correct: Y if the cited file/page/sheet actually supports the answer.</t>
        </is>
      </c>
    </row>
    <row r="17">
      <c r="A17" s="2" t="inlineStr">
        <is>
          <t>Made-up facts: Y if the answer states anything that is not in the documents (a hallucination). Any Y here is a serious failure.</t>
        </is>
      </c>
    </row>
    <row r="18">
      <c r="A18" s="2" t="inlineStr"/>
    </row>
    <row r="19">
      <c r="A19" s="3" t="inlineStr">
        <is>
          <t>About the reference answers</t>
        </is>
      </c>
    </row>
    <row r="20">
      <c r="A20" s="2" t="inlineStr">
        <is>
          <t>Reference answers were computed by generate_eval_data.py from the same dummy data (seed 2026), so they are exact. All names and figures are fictitious.</t>
        </is>
      </c>
    </row>
    <row r="21">
      <c r="A21" s="2" t="inlineStr">
        <is>
          <t>B6-B8 need totals across all 184 sales rows. The tool asks the page to calculate them exactly (shown as 'Exact figures calculated by the page' under the answer); the answer should quote those figures. Charts (B3-B5) use the same exact calculations.</t>
        </is>
      </c>
    </row>
    <row r="22">
      <c r="A22" s="2" t="inlineStr">
        <is>
          <t>With small document sets, 'Answer from: Auto' sends Claude the complete documents, so 'list all' and 'table of every' questions (A1-A4) can be 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Measure</t>
        </is>
      </c>
      <c r="B1" s="4" t="inlineStr">
        <is>
          <t>A: Unstructured</t>
        </is>
      </c>
      <c r="C1" s="4" t="inlineStr">
        <is>
          <t>B: Sales</t>
        </is>
      </c>
      <c r="D1" s="4" t="inlineStr">
        <is>
          <t>Cross-use-case</t>
        </is>
      </c>
      <c r="E1" s="4" t="inlineStr">
        <is>
          <t>All</t>
        </is>
      </c>
      <c r="F1" s="4" t="inlineStr">
        <is>
          <t>Target</t>
        </is>
      </c>
    </row>
    <row r="2">
      <c r="A2" s="5" t="inlineStr">
        <is>
          <t>Questions in the test set</t>
        </is>
      </c>
      <c r="B2" s="6">
        <f>COUNTIF('Test cases'!$B$3:$B$21,"A: Unstructured")</f>
        <v/>
      </c>
      <c r="C2" s="6">
        <f>COUNTIF('Test cases'!$B$3:$B$21,"B: Sales")</f>
        <v/>
      </c>
      <c r="D2" s="6">
        <f>COUNTIF('Test cases'!$B$3:$B$21,"Cross-use-case")</f>
        <v/>
      </c>
      <c r="E2" s="6">
        <f>COUNTA('Test cases'!$A$3:$A$21)</f>
        <v/>
      </c>
      <c r="F2" s="6" t="inlineStr"/>
    </row>
    <row r="3">
      <c r="A3" s="5" t="inlineStr">
        <is>
          <t>Questions scored</t>
        </is>
      </c>
      <c r="B3" s="6">
        <f>COUNTIFS('Test cases'!$B$3:$B$21,"A: Unstructured",'Test cases'!$J$3:$J$21,"&lt;&gt;")</f>
        <v/>
      </c>
      <c r="C3" s="6">
        <f>COUNTIFS('Test cases'!$B$3:$B$21,"B: Sales",'Test cases'!$J$3:$J$21,"&lt;&gt;")</f>
        <v/>
      </c>
      <c r="D3" s="6">
        <f>COUNTIFS('Test cases'!$B$3:$B$21,"Cross-use-case",'Test cases'!$J$3:$J$21,"&lt;&gt;")</f>
        <v/>
      </c>
      <c r="E3" s="6">
        <f>COUNT('Test cases'!$J$3:$J$21)</f>
        <v/>
      </c>
      <c r="F3" s="6" t="inlineStr"/>
    </row>
    <row r="4">
      <c r="A4" s="5" t="inlineStr">
        <is>
          <t>Fully correct (score 2)</t>
        </is>
      </c>
      <c r="B4" s="6">
        <f>COUNTIFS('Test cases'!$B$3:$B$21,"A: Unstructured",'Test cases'!$J$3:$J$21,2)</f>
        <v/>
      </c>
      <c r="C4" s="6">
        <f>COUNTIFS('Test cases'!$B$3:$B$21,"B: Sales",'Test cases'!$J$3:$J$21,2)</f>
        <v/>
      </c>
      <c r="D4" s="6">
        <f>COUNTIFS('Test cases'!$B$3:$B$21,"Cross-use-case",'Test cases'!$J$3:$J$21,2)</f>
        <v/>
      </c>
      <c r="E4" s="6">
        <f>COUNTIF('Test cases'!$J$3:$J$21,2)</f>
        <v/>
      </c>
      <c r="F4" s="6" t="inlineStr"/>
    </row>
    <row r="5">
      <c r="A5" s="5" t="inlineStr">
        <is>
          <t>Accuracy (points / max)</t>
        </is>
      </c>
      <c r="B5" s="7">
        <f>IFERROR(SUMIFS('Test cases'!$J$3:$J$21,'Test cases'!$B$3:$B$21,"A: Unstructured")/(2*COUNTIFS('Test cases'!$B$3:$B$21,"A: Unstructured",'Test cases'!$J$3:$J$21,"&lt;&gt;")),"")</f>
        <v/>
      </c>
      <c r="C5" s="7">
        <f>IFERROR(SUMIFS('Test cases'!$J$3:$J$21,'Test cases'!$B$3:$B$21,"B: Sales")/(2*COUNTIFS('Test cases'!$B$3:$B$21,"B: Sales",'Test cases'!$J$3:$J$21,"&lt;&gt;")),"")</f>
        <v/>
      </c>
      <c r="D5" s="7">
        <f>IFERROR(SUMIFS('Test cases'!$J$3:$J$21,'Test cases'!$B$3:$B$21,"Cross-use-case")/(2*COUNTIFS('Test cases'!$B$3:$B$21,"Cross-use-case",'Test cases'!$J$3:$J$21,"&lt;&gt;")),"")</f>
        <v/>
      </c>
      <c r="E5" s="7">
        <f>IFERROR(SUM('Test cases'!$J$3:$J$21)/(2*COUNT('Test cases'!$J$3:$J$21)),"")</f>
        <v/>
      </c>
      <c r="F5" s="6" t="inlineStr">
        <is>
          <t>≥ 85%</t>
        </is>
      </c>
    </row>
    <row r="6">
      <c r="A6" s="5" t="inlineStr">
        <is>
          <t>Citations correct</t>
        </is>
      </c>
      <c r="B6" s="7">
        <f>IFERROR(COUNTIFS('Test cases'!$B$3:$B$21,"A: Unstructured",'Test cases'!$K$3:$K$21,"Y")/COUNTIFS('Test cases'!$B$3:$B$21,"A: Unstructured",'Test cases'!$K$3:$K$21,"?*"),"")</f>
        <v/>
      </c>
      <c r="C6" s="7">
        <f>IFERROR(COUNTIFS('Test cases'!$B$3:$B$21,"B: Sales",'Test cases'!$K$3:$K$21,"Y")/COUNTIFS('Test cases'!$B$3:$B$21,"B: Sales",'Test cases'!$K$3:$K$21,"?*"),"")</f>
        <v/>
      </c>
      <c r="D6" s="7">
        <f>IFERROR(COUNTIFS('Test cases'!$B$3:$B$21,"Cross-use-case",'Test cases'!$K$3:$K$21,"Y")/COUNTIFS('Test cases'!$B$3:$B$21,"Cross-use-case",'Test cases'!$K$3:$K$21,"?*"),"")</f>
        <v/>
      </c>
      <c r="E6" s="7">
        <f>IFERROR(COUNTIF('Test cases'!$K$3:$K$21,"Y")/COUNTIF('Test cases'!$K$3:$K$21,"?*"),"")</f>
        <v/>
      </c>
      <c r="F6" s="6" t="inlineStr">
        <is>
          <t>≥ 95%</t>
        </is>
      </c>
    </row>
    <row r="7">
      <c r="A7" s="5" t="inlineStr">
        <is>
          <t>Answers with made-up facts</t>
        </is>
      </c>
      <c r="B7" s="6">
        <f>COUNTIFS('Test cases'!$B$3:$B$21,"A: Unstructured",'Test cases'!$L$3:$L$21,"Y")</f>
        <v/>
      </c>
      <c r="C7" s="6">
        <f>COUNTIFS('Test cases'!$B$3:$B$21,"B: Sales",'Test cases'!$L$3:$L$21,"Y")</f>
        <v/>
      </c>
      <c r="D7" s="6">
        <f>COUNTIFS('Test cases'!$B$3:$B$21,"Cross-use-case",'Test cases'!$L$3:$L$21,"Y")</f>
        <v/>
      </c>
      <c r="E7" s="6">
        <f>COUNTIF('Test cases'!$L$3:$L$21,"Y")</f>
        <v/>
      </c>
      <c r="F7" s="6" t="inlineStr">
        <is>
          <t>0</t>
        </is>
      </c>
    </row>
    <row r="8">
      <c r="A8" s="5" t="inlineStr">
        <is>
          <t>Average seconds per answer</t>
        </is>
      </c>
      <c r="B8" s="8">
        <f>IFERROR(AVERAGEIFS('Test cases'!$M$3:$M$21,'Test cases'!$B$3:$B$21,"A: Unstructured"),"")</f>
        <v/>
      </c>
      <c r="C8" s="8">
        <f>IFERROR(AVERAGEIFS('Test cases'!$M$3:$M$21,'Test cases'!$B$3:$B$21,"B: Sales"),"")</f>
        <v/>
      </c>
      <c r="D8" s="8">
        <f>IFERROR(AVERAGEIFS('Test cases'!$M$3:$M$21,'Test cases'!$B$3:$B$21,"Cross-use-case"),"")</f>
        <v/>
      </c>
      <c r="E8" s="8">
        <f>IFERROR(AVERAGE('Test cases'!$M$3:$M$21),"")</f>
        <v/>
      </c>
      <c r="F8" s="6" t="inlineStr">
        <is>
          <t>&lt; 20</t>
        </is>
      </c>
    </row>
    <row r="10">
      <c r="A10" s="9" t="inlineStr">
        <is>
          <t>All values are formulas over the 'Test cases' sheet (the EXAMPLE row is outside the counted range).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42" customWidth="1" min="4" max="4"/>
    <col width="60" customWidth="1" min="5" max="5"/>
    <col width="36" customWidth="1" min="6" max="6"/>
    <col width="40" customWidth="1" min="7" max="7"/>
    <col width="30" customWidth="1" min="8" max="8"/>
    <col width="50" customWidth="1" min="9" max="9"/>
    <col width="10" customWidth="1" min="10" max="10"/>
    <col width="12" customWidth="1" min="11" max="11"/>
    <col width="12" customWidth="1" min="12" max="12"/>
    <col width="9" customWidth="1" min="13" max="13"/>
    <col width="30" customWidth="1" min="14" max="14"/>
  </cols>
  <sheetData>
    <row r="1">
      <c r="A1" s="10" t="inlineStr">
        <is>
          <t>ID</t>
        </is>
      </c>
      <c r="B1" s="10" t="inlineStr">
        <is>
          <t>Use case</t>
        </is>
      </c>
      <c r="C1" s="10" t="inlineStr">
        <is>
          <t>Question type</t>
        </is>
      </c>
      <c r="D1" s="10" t="inlineStr">
        <is>
          <t>Question</t>
        </is>
      </c>
      <c r="E1" s="10" t="inlineStr">
        <is>
          <t>Reference answer</t>
        </is>
      </c>
      <c r="F1" s="10" t="inlineStr">
        <is>
          <t>Key facts to check</t>
        </is>
      </c>
      <c r="G1" s="10" t="inlineStr">
        <is>
          <t>Pass criteria</t>
        </is>
      </c>
      <c r="H1" s="10" t="inlineStr">
        <is>
          <t>Settings to use</t>
        </is>
      </c>
      <c r="I1" s="10" t="inlineStr">
        <is>
          <t>Actual answer</t>
        </is>
      </c>
      <c r="J1" s="10" t="inlineStr">
        <is>
          <t>Score (0-2)</t>
        </is>
      </c>
      <c r="K1" s="10" t="inlineStr">
        <is>
          <t>Citations correct (Y/N)</t>
        </is>
      </c>
      <c r="L1" s="10" t="inlineStr">
        <is>
          <t>Made-up facts (Y/N)</t>
        </is>
      </c>
      <c r="M1" s="10" t="inlineStr">
        <is>
          <t>Seconds</t>
        </is>
      </c>
      <c r="N1" s="10" t="inlineStr">
        <is>
          <t>Notes</t>
        </is>
      </c>
    </row>
    <row r="2">
      <c r="A2" s="11" t="inlineStr">
        <is>
          <t>EX</t>
        </is>
      </c>
      <c r="B2" s="11" t="inlineStr">
        <is>
          <t>Example</t>
        </is>
      </c>
      <c r="C2" s="11" t="inlineStr">
        <is>
          <t>Lookup</t>
        </is>
      </c>
      <c r="D2" s="11" t="inlineStr">
        <is>
          <t>What discount did Ember get in April?</t>
        </is>
      </c>
      <c r="E2" s="11" t="inlineStr">
        <is>
          <t>25% clearance</t>
        </is>
      </c>
      <c r="F2" s="11" t="inlineStr">
        <is>
          <t>25%</t>
        </is>
      </c>
      <c r="G2" s="11" t="inlineStr">
        <is>
          <t>2 = number + reason</t>
        </is>
      </c>
      <c r="H2" s="11" t="inlineStr">
        <is>
          <t>Default</t>
        </is>
      </c>
      <c r="I2" s="11" t="inlineStr">
        <is>
          <t>Ember Room Heater had a 25% clearance discount in April [1].</t>
        </is>
      </c>
      <c r="J2" s="11" t="n">
        <v>2</v>
      </c>
      <c r="K2" s="11" t="inlineStr">
        <is>
          <t>Y</t>
        </is>
      </c>
      <c r="L2" s="11" t="inlineStr">
        <is>
          <t>N</t>
        </is>
      </c>
      <c r="M2" s="11" t="n">
        <v>6</v>
      </c>
      <c r="N2" s="11" t="inlineStr">
        <is>
          <t>EXAMPLE row: excluded from the Summary</t>
        </is>
      </c>
    </row>
    <row r="3">
      <c r="A3" s="12" t="inlineStr">
        <is>
          <t>A1</t>
        </is>
      </c>
      <c r="B3" s="12" t="inlineStr">
        <is>
          <t>A: Unstructured</t>
        </is>
      </c>
      <c r="C3" s="12" t="inlineStr">
        <is>
          <t>Extraction to table</t>
        </is>
      </c>
      <c r="D3" s="12" t="inlineStr">
        <is>
          <t>Create a table of all customer calls with customer, city, date, product, main issue, sentiment, follow-up owner and due date.</t>
        </is>
      </c>
      <c r="E3" s="12" t="inlineStr">
        <is>
          <t>A 12-row table:
Customer | City | Date | Product | Main issue | Sentiment | Owner | Due
Meridian Foods | Pune | 2 Sep 2026 | Cascade Water Purifier | Filter cartridge availability | Negative | Ravi Menon | 10 Sep 2026
Sunrise Retail | Mumbai | 3 Sep 2026 | Halo Smart Bulb | App pairing problems | Neutral | Priya Shah | 15 Sep 2026
GreenLeaf Hotels | Bengaluru | 4 Sep 2026 | Drift Air Cooler | Delivery delays | Negative | Arjun Rao | 8 Sep 2026
Kaveri Distributors | Chennai | 5 Sep 2026 | Cascade Water Purifier | Filter cartridge availability | Negative | Ravi Menon | 12 Sep 2026
Urban Nest Interiors | Delhi | 8 Sep 2026 | Glow LED Lamp | None (positive feedback) | Positive | Neha Gupta | 30 Sep 2026
Coastal Mart | Kochi | 9 Sep 2026 | Breeze Fan | Price higher than competitor | Neutral | Arjun Rao | 20 Sep 2026
Sapphire Electronics | Hyderabad | 11 Sep 2026 | Flux Mixer Grinder | Delivery delays | Negative | Priya Shah | 18 Sep 2026
Himalaya Stores | Dehradun | 12 Sep 2026 | Ember Room Heater | None (pre-season order) | Positive | Neha Gupta | 25 Sep 2026
TechHome Solutions | Bengaluru | 15 Sep 2026 | Halo Smart Bulb | App pairing problems | Negative | Priya Shah | 22 Sep 2026
Annapurna Caterers | Pune | 16 Sep 2026 | Aurora Kettle | Delivery delays | Neutral | Arjun Rao | 19 Sep 2026
BrightPath Schools | Lucknow | 18 Sep 2026 | Halo Smart Bulb | App pairing problems | Neutral | Priya Shah | 29 Sep 2026
Delta Supermarkets | Ahmedabad | 22 Sep 2026 | Cascade Water Purifier | Filter cartridge availability; Price higher than competitor | Neutral | Ravi Menon | 1 Oct 2026</t>
        </is>
      </c>
      <c r="F3" s="12" t="inlineStr">
        <is>
          <t>All 12 customers present; owners and due dates match; sentiment reasonable (Negative for Meridian, GreenLeaf, Kaveri, Sapphire, TechHome).</t>
        </is>
      </c>
      <c r="G3" s="12" t="inlineStr">
        <is>
          <t>2 = all 12 rows correct; 1 = 9-11 rows or minor field errors; 0 = &lt;9 rows or invented rows.</t>
        </is>
      </c>
      <c r="H3" s="12" t="inlineStr">
        <is>
          <t>Default settings (Answer from: Auto reads all documents); Max answer length 1500+</t>
        </is>
      </c>
      <c r="I3" s="13" t="n"/>
      <c r="J3" s="13" t="n"/>
      <c r="K3" s="13" t="n"/>
      <c r="L3" s="13" t="n"/>
      <c r="M3" s="13" t="n"/>
      <c r="N3" s="13" t="n"/>
    </row>
    <row r="4">
      <c r="A4" s="12" t="inlineStr">
        <is>
          <t>A2</t>
        </is>
      </c>
      <c r="B4" s="12" t="inlineStr">
        <is>
          <t>A: Unstructured</t>
        </is>
      </c>
      <c r="C4" s="12" t="inlineStr">
        <is>
          <t>Insight</t>
        </is>
      </c>
      <c r="D4" s="12" t="inlineStr">
        <is>
          <t>What are the most common complaints across the customer calls? Count how many calls mention each.</t>
        </is>
      </c>
      <c r="E4" s="12" t="inlineStr">
        <is>
          <t>Halo app pairing problems: 3 calls (Sunrise, TechHome, BrightPath). Cascade filter cartridge availability: 3 (Meridian, Kaveri, Delta). Delivery delays: 3 (GreenLeaf, Sapphire, Annapurna). Price higher than competitor: 2 (Coastal Mart vs CoolWind, Delta vs AquaPure).</t>
        </is>
      </c>
      <c r="F4" s="12" t="inlineStr">
        <is>
          <t>Three themes tied at 3 calls each; price as a 4th theme with 2.</t>
        </is>
      </c>
      <c r="G4" s="12" t="inlineStr">
        <is>
          <t>2 = all themes with right counts; 1 = right themes, wrong counts; 0 = wrong themes.</t>
        </is>
      </c>
      <c r="H4" s="12" t="inlineStr">
        <is>
          <t>Default settings (Answer from: Auto)</t>
        </is>
      </c>
      <c r="I4" s="13" t="n"/>
      <c r="J4" s="13" t="n"/>
      <c r="K4" s="13" t="n"/>
      <c r="L4" s="13" t="n"/>
      <c r="M4" s="13" t="n"/>
      <c r="N4" s="13" t="n"/>
    </row>
    <row r="5">
      <c r="A5" s="12" t="inlineStr">
        <is>
          <t>A3</t>
        </is>
      </c>
      <c r="B5" s="12" t="inlineStr">
        <is>
          <t>A: Unstructured</t>
        </is>
      </c>
      <c r="C5" s="12" t="inlineStr">
        <is>
          <t>Insight</t>
        </is>
      </c>
      <c r="D5" s="12" t="inlineStr">
        <is>
          <t>Which customers are at risk of moving to a competitor, and why?</t>
        </is>
      </c>
      <c r="E5" s="12" t="inlineStr">
        <is>
          <t>Meridian Foods (Pune): no filter cartridges, evaluating AquaPure, 40-unit order on hold. Kaveri Distributors (Chennai): stock and cartridge shortage, AquaPure offering better margins. TechHome Solutions (Bengaluru): Halo pairing failures, trialling LumaSmart, orders paused.</t>
        </is>
      </c>
      <c r="F5" s="12" t="inlineStr">
        <is>
          <t>Exactly these 3; competitor names AquaPure, AquaPure, LumaSmart.</t>
        </is>
      </c>
      <c r="G5" s="12" t="inlineStr">
        <is>
          <t>2 = all 3 with reasons; 1 = 2 of 3; 0 = fewer or invented.</t>
        </is>
      </c>
      <c r="H5" s="12" t="inlineStr">
        <is>
          <t>Default settings (Answer from: Auto)</t>
        </is>
      </c>
      <c r="I5" s="13" t="n"/>
      <c r="J5" s="13" t="n"/>
      <c r="K5" s="13" t="n"/>
      <c r="L5" s="13" t="n"/>
      <c r="M5" s="13" t="n"/>
      <c r="N5" s="13" t="n"/>
    </row>
    <row r="6">
      <c r="A6" s="12" t="inlineStr">
        <is>
          <t>A4</t>
        </is>
      </c>
      <c r="B6" s="12" t="inlineStr">
        <is>
          <t>A: Unstructured</t>
        </is>
      </c>
      <c r="C6" s="12" t="inlineStr">
        <is>
          <t>Extraction to table</t>
        </is>
      </c>
      <c r="D6" s="12" t="inlineStr">
        <is>
          <t>List the follow-up actions due on or before 15 September 2026, with owner and due date, as a table.</t>
        </is>
      </c>
      <c r="E6" s="12" t="inlineStr">
        <is>
          <t>GreenLeaf Hotels: apology + credit note, Arjun Rao, 8 Sep. Meridian Foods: cartridge delivery date, Ravi Menon, 10 Sep. Kaveri Distributors: stock plan, Ravi Menon, 12 Sep. Sunrise Retail: app update timeline, Priya Shah, 15 Sep.</t>
        </is>
      </c>
      <c r="F6" s="12" t="inlineStr">
        <is>
          <t>Exactly 4 actions.</t>
        </is>
      </c>
      <c r="G6" s="12" t="inlineStr">
        <is>
          <t>2 = exactly these 4; 1 = 3 correct or 1 extra; 0 otherwise.</t>
        </is>
      </c>
      <c r="H6" s="12" t="inlineStr">
        <is>
          <t>Default settings (Answer from: Auto)</t>
        </is>
      </c>
      <c r="I6" s="13" t="n"/>
      <c r="J6" s="13" t="n"/>
      <c r="K6" s="13" t="n"/>
      <c r="L6" s="13" t="n"/>
      <c r="M6" s="13" t="n"/>
      <c r="N6" s="13" t="n"/>
    </row>
    <row r="7">
      <c r="A7" s="12" t="inlineStr">
        <is>
          <t>A5</t>
        </is>
      </c>
      <c r="B7" s="12" t="inlineStr">
        <is>
          <t>A: Unstructured</t>
        </is>
      </c>
      <c r="C7" s="12" t="inlineStr">
        <is>
          <t>Extraction to table</t>
        </is>
      </c>
      <c r="D7" s="12" t="inlineStr">
        <is>
          <t>From the store visit reports, make a table of stock-outs: store, region, product, how many days, visit date.</t>
        </is>
      </c>
      <c r="E7" s="12" t="inlineStr">
        <is>
          <t>Store | Region | Product | Days | Visit date
Chennai, Anna Nagar | South | Cascade Water Purifier | 9 days | 12 Aug 2026
Bengaluru, Indiranagar | South | Cascade Water Purifier | 6 days | 14 Aug 2026
Mumbai, Andheri | West | Glow LED Lamp | 4 days | 20 Aug 2026
Hyderabad, Banjara Hills | South | Cascade Water Purifier | 11 days | 25 Aug 2026</t>
        </is>
      </c>
      <c r="F7" s="12" t="inlineStr">
        <is>
          <t>4 rows: 3 Cascade Water Purifier stock-outs in South stores + Glow LED Lamp in Mumbai.</t>
        </is>
      </c>
      <c r="G7" s="12" t="inlineStr">
        <is>
          <t>2 = all 4 correct; 1 = 3 correct; 0 otherwise.</t>
        </is>
      </c>
      <c r="H7" s="12" t="inlineStr">
        <is>
          <t>Default settings</t>
        </is>
      </c>
      <c r="I7" s="13" t="n"/>
      <c r="J7" s="13" t="n"/>
      <c r="K7" s="13" t="n"/>
      <c r="L7" s="13" t="n"/>
      <c r="M7" s="13" t="n"/>
      <c r="N7" s="13" t="n"/>
    </row>
    <row r="8">
      <c r="A8" s="12" t="inlineStr">
        <is>
          <t>A6</t>
        </is>
      </c>
      <c r="B8" s="12" t="inlineStr">
        <is>
          <t>A: Unstructured</t>
        </is>
      </c>
      <c r="C8" s="12" t="inlineStr">
        <is>
          <t>Summary</t>
        </is>
      </c>
      <c r="D8" s="12" t="inlineStr">
        <is>
          <t>Summarise what competitors are doing according to the store visits and customer calls.</t>
        </is>
      </c>
      <c r="E8" s="12" t="inlineStr">
        <is>
          <t>AquaPure: purifier at ₹11,499 (about ₹1,500 below Cascade) in Chennai, festive promotion in Hyderabad, better margins offered to Kaveri, mentioned by Meridian and Delta. CoolWind: fans about 10% cheaper (Delhi store, Coastal Mart). LumaSmart: smart bulb trial at TechHome.</t>
        </is>
      </c>
      <c r="F8" s="12" t="inlineStr">
        <is>
          <t>AquaPure, CoolWind, LumaSmart with the right products.</t>
        </is>
      </c>
      <c r="G8" s="12" t="inlineStr">
        <is>
          <t>2 = all three; 1 = two; 0 = one or invented competitors.</t>
        </is>
      </c>
      <c r="H8" s="12" t="inlineStr">
        <is>
          <t>Default settings (Answer from: Auto)</t>
        </is>
      </c>
      <c r="I8" s="13" t="n"/>
      <c r="J8" s="13" t="n"/>
      <c r="K8" s="13" t="n"/>
      <c r="L8" s="13" t="n"/>
      <c r="M8" s="13" t="n"/>
      <c r="N8" s="13" t="n"/>
    </row>
    <row r="9">
      <c r="A9" s="12" t="inlineStr">
        <is>
          <t>A7</t>
        </is>
      </c>
      <c r="B9" s="12" t="inlineStr">
        <is>
          <t>Cross-use-case</t>
        </is>
      </c>
      <c r="C9" s="12" t="inlineStr">
        <is>
          <t>Cross-document insight</t>
        </is>
      </c>
      <c r="D9" s="12" t="inlineStr">
        <is>
          <t>Do the store visit reports or customer calls explain any dip in the sales data?</t>
        </is>
      </c>
      <c r="E9" s="12" t="inlineStr">
        <is>
          <t>Yes: Cascade Water Purifier sales in the South fell in August (136 units in July to 35 in August) because South stores (Chennai, Bengaluru, Hyderabad) were out of stock; the commentary blames missed supplier shipments. Sales recovered in September (150). Customers Kaveri and Meridian also cite cartridge/stock shortages.</t>
        </is>
      </c>
      <c r="F9" s="12" t="inlineStr">
        <is>
          <t>Links the South August purifier dip to the stock-outs, cites both sales data and visit reports.</t>
        </is>
      </c>
      <c r="G9" s="12" t="inlineStr">
        <is>
          <t>2 = link made with evidence from both sources; 1 = link made, one source; 0 = no link or wrong cause.</t>
        </is>
      </c>
      <c r="H9" s="12" t="inlineStr">
        <is>
          <t>Load A and B folders together; default settings</t>
        </is>
      </c>
      <c r="I9" s="13" t="n"/>
      <c r="J9" s="13" t="n"/>
      <c r="K9" s="13" t="n"/>
      <c r="L9" s="13" t="n"/>
      <c r="M9" s="13" t="n"/>
      <c r="N9" s="13" t="n"/>
    </row>
    <row r="10">
      <c r="A10" s="12" t="inlineStr">
        <is>
          <t>A8</t>
        </is>
      </c>
      <c r="B10" s="12" t="inlineStr">
        <is>
          <t>A: Unstructured</t>
        </is>
      </c>
      <c r="C10" s="12" t="inlineStr">
        <is>
          <t>Negative (not in documents)</t>
        </is>
      </c>
      <c r="D10" s="12" t="inlineStr">
        <is>
          <t>What did customers say about the warranty extension programme?</t>
        </is>
      </c>
      <c r="E10" s="12" t="inlineStr">
        <is>
          <t>Not in the documents. The tool should say it couldn't find this, with a 'How I checked' table giving each of the documents and why it can't answer.</t>
        </is>
      </c>
      <c r="F10" s="12" t="inlineStr">
        <is>
          <t>Must not invent anything; every document checked.</t>
        </is>
      </c>
      <c r="G10" s="12" t="inlineStr">
        <is>
          <t>2 = not found with a check per document; 1 = not found without the checks; 0 = any invented content.</t>
        </is>
      </c>
      <c r="H10" s="12" t="inlineStr">
        <is>
          <t>Default settings</t>
        </is>
      </c>
      <c r="I10" s="13" t="n"/>
      <c r="J10" s="13" t="n"/>
      <c r="K10" s="13" t="n"/>
      <c r="L10" s="13" t="n"/>
      <c r="M10" s="13" t="n"/>
      <c r="N10" s="13" t="n"/>
    </row>
    <row r="11">
      <c r="A11" s="12" t="inlineStr">
        <is>
          <t>A9</t>
        </is>
      </c>
      <c r="B11" s="12" t="inlineStr">
        <is>
          <t>A: Unstructured</t>
        </is>
      </c>
      <c r="C11" s="12" t="inlineStr">
        <is>
          <t>Derived count</t>
        </is>
      </c>
      <c r="D11" s="12" t="inlineStr">
        <is>
          <t>How many store visits were there per month?</t>
        </is>
      </c>
      <c r="E11" s="12" t="inlineStr">
        <is>
          <t>6 store visits, all in August 2026 (12, 14, 18, 20, 22 and 25 August); none in any other month.</t>
        </is>
      </c>
      <c r="F11" s="12" t="inlineStr">
        <is>
          <t>6 visits, all August.</t>
        </is>
      </c>
      <c r="G11" s="12" t="inlineStr">
        <is>
          <t>2 = 6 in August and none elsewhere; 1 = August only or wrong count; 0 = 'not found' or invented months.</t>
        </is>
      </c>
      <c r="H11" s="12" t="inlineStr">
        <is>
          <t>Default settings (found in real testing: an over-strict prompt made the tool answer 'not found')</t>
        </is>
      </c>
      <c r="I11" s="13" t="n"/>
      <c r="J11" s="13" t="n"/>
      <c r="K11" s="13" t="n"/>
      <c r="L11" s="13" t="n"/>
      <c r="M11" s="13" t="n"/>
      <c r="N11" s="13" t="n"/>
    </row>
    <row r="12">
      <c r="A12" s="12" t="inlineStr">
        <is>
          <t>B1</t>
        </is>
      </c>
      <c r="B12" s="12" t="inlineStr">
        <is>
          <t>B: Sales</t>
        </is>
      </c>
      <c r="C12" s="12" t="inlineStr">
        <is>
          <t>Lookup</t>
        </is>
      </c>
      <c r="D12" s="12" t="inlineStr">
        <is>
          <t>What discount was given on the Ember Room Heater in April 2026, and why?</t>
        </is>
      </c>
      <c r="E12" s="12" t="inlineStr">
        <is>
          <t>25% clearance discount (April and May) to reduce winter stock; standard home comfort discount is 8%.</t>
        </is>
      </c>
      <c r="F12" s="12" t="inlineStr">
        <is>
          <t>25%, clearance reason.</t>
        </is>
      </c>
      <c r="G12" s="12" t="inlineStr">
        <is>
          <t>2 = both; 1 = number only; 0 = wrong.</t>
        </is>
      </c>
      <c r="H12" s="12" t="inlineStr">
        <is>
          <t>Default settings</t>
        </is>
      </c>
      <c r="I12" s="13" t="n"/>
      <c r="J12" s="13" t="n"/>
      <c r="K12" s="13" t="n"/>
      <c r="L12" s="13" t="n"/>
      <c r="M12" s="13" t="n"/>
      <c r="N12" s="13" t="n"/>
    </row>
    <row r="13">
      <c r="A13" s="12" t="inlineStr">
        <is>
          <t>B2</t>
        </is>
      </c>
      <c r="B13" s="12" t="inlineStr">
        <is>
          <t>B: Sales</t>
        </is>
      </c>
      <c r="C13" s="12" t="inlineStr">
        <is>
          <t>Narrative</t>
        </is>
      </c>
      <c r="D13" s="12" t="inlineStr">
        <is>
          <t>Why did Drift Air Cooler sales peak in May?</t>
        </is>
      </c>
      <c r="E13" s="12" t="inlineStr">
        <is>
          <t>A heatwave across North and West India in May (commentary); sales eased from July with the monsoon.</t>
        </is>
      </c>
      <c r="F13" s="12" t="inlineStr">
        <is>
          <t>Heatwave, May.</t>
        </is>
      </c>
      <c r="G13" s="12" t="inlineStr">
        <is>
          <t>2 = cause + timing; 1 = cause only; 0 = wrong.</t>
        </is>
      </c>
      <c r="H13" s="12" t="inlineStr">
        <is>
          <t>Default settings</t>
        </is>
      </c>
      <c r="I13" s="13" t="n"/>
      <c r="J13" s="13" t="n"/>
      <c r="K13" s="13" t="n"/>
      <c r="L13" s="13" t="n"/>
      <c r="M13" s="13" t="n"/>
      <c r="N13" s="13" t="n"/>
    </row>
    <row r="14">
      <c r="A14" s="12" t="inlineStr">
        <is>
          <t>B3</t>
        </is>
      </c>
      <c r="B14" s="12" t="inlineStr">
        <is>
          <t>B: Sales</t>
        </is>
      </c>
      <c r="C14" s="12" t="inlineStr">
        <is>
          <t>Chart (exact numbers)</t>
        </is>
      </c>
      <c r="D14" s="12" t="inlineStr">
        <is>
          <t>Plot monthly units sold of Drift Air Cooler as a line chart.</t>
        </is>
      </c>
      <c r="E14" s="12" t="inlineStr">
        <is>
          <t>Proposal table, then line chart with all regions summed: April 1,095; May 1,469; June 1,150; July 598; August 398; September 323.</t>
        </is>
      </c>
      <c r="F14" s="12" t="inlineStr">
        <is>
          <t>Values match exactly; source shows Sales_FY27_H1.xlsx sheet Transactions.</t>
        </is>
      </c>
      <c r="G14" s="12" t="inlineStr">
        <is>
          <t>2 = exact values and plotted after confirm; 1 = right shape, wrong grouping; 0 = wrong numbers.</t>
        </is>
      </c>
      <c r="H14" s="12" t="inlineStr">
        <is>
          <t>Default settings</t>
        </is>
      </c>
      <c r="I14" s="13" t="n"/>
      <c r="J14" s="13" t="n"/>
      <c r="K14" s="13" t="n"/>
      <c r="L14" s="13" t="n"/>
      <c r="M14" s="13" t="n"/>
      <c r="N14" s="13" t="n"/>
    </row>
    <row r="15">
      <c r="A15" s="12" t="inlineStr">
        <is>
          <t>B4</t>
        </is>
      </c>
      <c r="B15" s="12" t="inlineStr">
        <is>
          <t>B: Sales</t>
        </is>
      </c>
      <c r="C15" s="12" t="inlineStr">
        <is>
          <t>Chart (exact numbers)</t>
        </is>
      </c>
      <c r="D15" s="12" t="inlineStr">
        <is>
          <t>Bar chart of total net revenue by product for H1.</t>
        </is>
      </c>
      <c r="E15" s="12" t="inlineStr">
        <is>
          <t>Bar chart, values (₹): Cascade Water Purifier ₹40,085,016; Drift Air Cooler ₹39,353,430; Breeze Fan ₹30,278,407; Aurora Kettle ₹24,091,861; Flux Mixer Grinder ₹22,321,476; Glow LED Lamp ₹12,884,916; Halo Smart Bulb ₹5,684,360; Ember Room Heater ₹2,909,900. Top: Cascade Water Purifier.</t>
        </is>
      </c>
      <c r="F15" s="12" t="inlineStr">
        <is>
          <t>Exact values (page-computed).</t>
        </is>
      </c>
      <c r="G15" s="12" t="inlineStr">
        <is>
          <t>2 = exact; 0 = otherwise.</t>
        </is>
      </c>
      <c r="H15" s="12" t="inlineStr">
        <is>
          <t>Default settings</t>
        </is>
      </c>
      <c r="I15" s="13" t="n"/>
      <c r="J15" s="13" t="n"/>
      <c r="K15" s="13" t="n"/>
      <c r="L15" s="13" t="n"/>
      <c r="M15" s="13" t="n"/>
      <c r="N15" s="13" t="n"/>
    </row>
    <row r="16">
      <c r="A16" s="12" t="inlineStr">
        <is>
          <t>B5</t>
        </is>
      </c>
      <c r="B16" s="12" t="inlineStr">
        <is>
          <t>B: Sales</t>
        </is>
      </c>
      <c r="C16" s="12" t="inlineStr">
        <is>
          <t>Chart (exact numbers)</t>
        </is>
      </c>
      <c r="D16" s="12" t="inlineStr">
        <is>
          <t>Show net revenue by region as a bar chart.</t>
        </is>
      </c>
      <c r="E16" s="12" t="inlineStr">
        <is>
          <t>Values (₹): West ₹50,698,392; North ₹48,128,931; South ₹43,368,264; East ₹35,413,779.</t>
        </is>
      </c>
      <c r="F16" s="12" t="inlineStr">
        <is>
          <t>Exact values.</t>
        </is>
      </c>
      <c r="G16" s="12" t="inlineStr">
        <is>
          <t>2 = exact; 0 = otherwise.</t>
        </is>
      </c>
      <c r="H16" s="12" t="inlineStr">
        <is>
          <t>Default settings</t>
        </is>
      </c>
      <c r="I16" s="13" t="n"/>
      <c r="J16" s="13" t="n"/>
      <c r="K16" s="13" t="n"/>
      <c r="L16" s="13" t="n"/>
      <c r="M16" s="13" t="n"/>
      <c r="N16" s="13" t="n"/>
    </row>
    <row r="17">
      <c r="A17" s="12" t="inlineStr">
        <is>
          <t>B6</t>
        </is>
      </c>
      <c r="B17" s="12" t="inlineStr">
        <is>
          <t>B: Sales</t>
        </is>
      </c>
      <c r="C17" s="12" t="inlineStr">
        <is>
          <t>Aggregate (text answer)</t>
        </is>
      </c>
      <c r="D17" s="12" t="inlineStr">
        <is>
          <t>Which product earned the most net revenue in H1, and how much?</t>
        </is>
      </c>
      <c r="E17" s="12" t="inlineStr">
        <is>
          <t>Cascade Water Purifier, ₹40,085,016 (₹400.9 lakh).</t>
        </is>
      </c>
      <c r="F17" s="12" t="inlineStr">
        <is>
          <t>Product name and amount within 1%.</t>
        </is>
      </c>
      <c r="G17" s="12" t="inlineStr">
        <is>
          <t>2 = right product and amount; 1 = right product, wrong/missing amount, or says it can only see part of the data; 0 = wrong product stated confidently.</t>
        </is>
      </c>
      <c r="H17" s="12" t="inlineStr">
        <is>
          <t>Default settings; check the 'Exact figures calculated by the page' table under the answer</t>
        </is>
      </c>
      <c r="I17" s="13" t="n"/>
      <c r="J17" s="13" t="n"/>
      <c r="K17" s="13" t="n"/>
      <c r="L17" s="13" t="n"/>
      <c r="M17" s="13" t="n"/>
      <c r="N17" s="13" t="n"/>
    </row>
    <row r="18">
      <c r="A18" s="12" t="inlineStr">
        <is>
          <t>B7</t>
        </is>
      </c>
      <c r="B18" s="12" t="inlineStr">
        <is>
          <t>B: Sales</t>
        </is>
      </c>
      <c r="C18" s="12" t="inlineStr">
        <is>
          <t>Aggregate (text answer)</t>
        </is>
      </c>
      <c r="D18" s="12" t="inlineStr">
        <is>
          <t>What was total net revenue for H1 across all products and regions?</t>
        </is>
      </c>
      <c r="E18" s="12" t="inlineStr">
        <is>
          <t>₹177,609,366 (₹1,776.1 lakh).</t>
        </is>
      </c>
      <c r="F18" s="12" t="inlineStr">
        <is>
          <t>Within 1%, or an honest statement that the full total can't be computed from the passages it sees.</t>
        </is>
      </c>
      <c r="G18" s="12" t="inlineStr">
        <is>
          <t>2 = correct; 1 = honest 'can't compute all rows'; 0 = a wrong number stated as fact.</t>
        </is>
      </c>
      <c r="H18" s="12" t="inlineStr">
        <is>
          <t>Default settings; check the calculated table under the answer</t>
        </is>
      </c>
      <c r="I18" s="13" t="n"/>
      <c r="J18" s="13" t="n"/>
      <c r="K18" s="13" t="n"/>
      <c r="L18" s="13" t="n"/>
      <c r="M18" s="13" t="n"/>
      <c r="N18" s="13" t="n"/>
    </row>
    <row r="19">
      <c r="A19" s="12" t="inlineStr">
        <is>
          <t>B8</t>
        </is>
      </c>
      <c r="B19" s="12" t="inlineStr">
        <is>
          <t>B: Sales</t>
        </is>
      </c>
      <c r="C19" s="12" t="inlineStr">
        <is>
          <t>Aggregate (text answer)</t>
        </is>
      </c>
      <c r="D19" s="12" t="inlineStr">
        <is>
          <t>Which products missed their H1 unit target?</t>
        </is>
      </c>
      <c r="E19" s="12" t="inlineStr">
        <is>
          <t>Missed: Cascade Water Purifier (3,246 vs target 3,700), Ember Room Heater (1,145 vs target 1,400), Flux Mixer Grinder (5,109 vs target 5,400), Halo Smart Bulb (4,890 vs target 6,400).</t>
        </is>
      </c>
      <c r="F19" s="12" t="inlineStr">
        <is>
          <t>Exactly these products.</t>
        </is>
      </c>
      <c r="G19" s="12" t="inlineStr">
        <is>
          <t>2 = exact list; 1 = partial or honest limitation; 0 = wrong list stated as fact.</t>
        </is>
      </c>
      <c r="H19" s="12" t="inlineStr">
        <is>
          <t>Default settings; check the calculated table under the answer</t>
        </is>
      </c>
      <c r="I19" s="13" t="n"/>
      <c r="J19" s="13" t="n"/>
      <c r="K19" s="13" t="n"/>
      <c r="L19" s="13" t="n"/>
      <c r="M19" s="13" t="n"/>
      <c r="N19" s="13" t="n"/>
    </row>
    <row r="20">
      <c r="A20" s="12" t="inlineStr">
        <is>
          <t>B9</t>
        </is>
      </c>
      <c r="B20" s="12" t="inlineStr">
        <is>
          <t>B: Sales</t>
        </is>
      </c>
      <c r="C20" s="12" t="inlineStr">
        <is>
          <t>Summary</t>
        </is>
      </c>
      <c r="D20" s="12" t="inlineStr">
        <is>
          <t>Summarise how the Halo Smart Bulb has done since launch.</t>
        </is>
      </c>
      <c r="E20" s="12" t="inlineStr">
        <is>
          <t>Launched June 2026 with a 15% introductory discount; units grew every month (June 501; July 1,078; August 1,513; September 1,798); app pairing problems reported by customers and stores; app fix in progress.</t>
        </is>
      </c>
      <c r="F20" s="12" t="inlineStr">
        <is>
          <t>Launch month, discount, growth, pairing issue.</t>
        </is>
      </c>
      <c r="G20" s="12" t="inlineStr">
        <is>
          <t>2 = all four; 1 = two or three; 0 = otherwise.</t>
        </is>
      </c>
      <c r="H20" s="12" t="inlineStr">
        <is>
          <t>Default settings</t>
        </is>
      </c>
      <c r="I20" s="13" t="n"/>
      <c r="J20" s="13" t="n"/>
      <c r="K20" s="13" t="n"/>
      <c r="L20" s="13" t="n"/>
      <c r="M20" s="13" t="n"/>
      <c r="N20" s="13" t="n"/>
    </row>
    <row r="21">
      <c r="A21" s="12" t="inlineStr">
        <is>
          <t>B10</t>
        </is>
      </c>
      <c r="B21" s="12" t="inlineStr">
        <is>
          <t>B: Sales</t>
        </is>
      </c>
      <c r="C21" s="12" t="inlineStr">
        <is>
          <t>Negative (not in documents)</t>
        </is>
      </c>
      <c r="D21" s="12" t="inlineStr">
        <is>
          <t>What were sales in October 2026?</t>
        </is>
      </c>
      <c r="E21" s="12" t="inlineStr">
        <is>
          <t>Not in the data (the data covers April to September 2026). Should say it couldn't find this.</t>
        </is>
      </c>
      <c r="F21" s="12" t="inlineStr">
        <is>
          <t>Must not invent October figures.</t>
        </is>
      </c>
      <c r="G21" s="12" t="inlineStr">
        <is>
          <t>2 = says not found / data ends September; 0 = any invented figure.</t>
        </is>
      </c>
      <c r="H21" s="12" t="inlineStr">
        <is>
          <t>Default settings</t>
        </is>
      </c>
      <c r="I21" s="13" t="n"/>
      <c r="J21" s="13" t="n"/>
      <c r="K21" s="13" t="n"/>
      <c r="L21" s="13" t="n"/>
      <c r="M21" s="13" t="n"/>
      <c r="N21" s="13" t="n"/>
    </row>
  </sheetData>
  <dataValidations count="2">
    <dataValidation sqref="J3:J21" showDropDown="0" showInputMessage="0" showErrorMessage="0" allowBlank="1" type="whole" operator="between">
      <formula1>0</formula1>
      <formula2>2</formula2>
    </dataValidation>
    <dataValidation sqref="K3:L21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2026-10-04T08:43:34Z</dcterms:created>
  <dcterms:modified xmlns:dcterms="http://purl.org/dc/terms/" xmlns:xsi="http://www.w3.org/2001/XMLSchema-instance" xsi:type="dcterms:W3CDTF">2026-10-04T08:43:34Z</dcterms:modified>
</cp:coreProperties>
</file>